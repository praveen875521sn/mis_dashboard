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558A7CCC-6A2B-4780-9A08-E3F3FFF2CC55}" xr6:coauthVersionLast="47" xr6:coauthVersionMax="47" xr10:uidLastSave="{00000000-0000-0000-0000-000000000000}"/>
  <bookViews>
    <workbookView xWindow="-98" yWindow="-98" windowWidth="19396" windowHeight="11475" xr2:uid="{DEFDF117-06D2-4DEE-AA8B-F2EDFC602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3" i="1" l="1"/>
  <c r="R33" i="1"/>
  <c r="Q33" i="1"/>
  <c r="P33" i="1"/>
  <c r="O33" i="1"/>
  <c r="N33" i="1"/>
  <c r="M33" i="1"/>
  <c r="S32" i="1"/>
  <c r="R32" i="1"/>
  <c r="Q32" i="1"/>
  <c r="P32" i="1"/>
  <c r="O32" i="1"/>
  <c r="N32" i="1"/>
  <c r="M32" i="1"/>
  <c r="S31" i="1"/>
  <c r="R31" i="1"/>
  <c r="Q31" i="1"/>
  <c r="P31" i="1"/>
  <c r="O31" i="1"/>
  <c r="N31" i="1"/>
  <c r="M31" i="1"/>
  <c r="S30" i="1"/>
  <c r="R30" i="1"/>
  <c r="Q30" i="1"/>
  <c r="P30" i="1"/>
  <c r="O30" i="1"/>
  <c r="N30" i="1"/>
  <c r="M30" i="1"/>
  <c r="S29" i="1"/>
  <c r="R29" i="1"/>
  <c r="Q29" i="1"/>
  <c r="P29" i="1"/>
  <c r="O29" i="1"/>
  <c r="N29" i="1"/>
  <c r="M29" i="1"/>
  <c r="S28" i="1"/>
  <c r="R28" i="1"/>
  <c r="Q28" i="1"/>
  <c r="P28" i="1"/>
  <c r="O28" i="1"/>
  <c r="N28" i="1"/>
  <c r="M28" i="1"/>
  <c r="S27" i="1"/>
  <c r="R27" i="1"/>
  <c r="Q27" i="1"/>
  <c r="P27" i="1"/>
  <c r="O27" i="1"/>
  <c r="N27" i="1"/>
  <c r="M27" i="1"/>
  <c r="S26" i="1"/>
  <c r="R26" i="1"/>
  <c r="Q26" i="1"/>
  <c r="P26" i="1"/>
  <c r="O26" i="1"/>
  <c r="N26" i="1"/>
  <c r="M26" i="1"/>
  <c r="S25" i="1"/>
  <c r="R25" i="1"/>
  <c r="Q25" i="1"/>
  <c r="P25" i="1"/>
  <c r="O25" i="1"/>
  <c r="N25" i="1"/>
  <c r="M25" i="1"/>
  <c r="S24" i="1"/>
  <c r="R24" i="1"/>
  <c r="Q24" i="1"/>
  <c r="P24" i="1"/>
  <c r="O24" i="1"/>
  <c r="N24" i="1"/>
  <c r="M24" i="1"/>
  <c r="S23" i="1"/>
  <c r="R23" i="1"/>
  <c r="Q23" i="1"/>
  <c r="P23" i="1"/>
  <c r="O23" i="1"/>
  <c r="N23" i="1"/>
  <c r="M23" i="1"/>
  <c r="S22" i="1"/>
  <c r="R22" i="1"/>
  <c r="Q22" i="1"/>
  <c r="P22" i="1"/>
  <c r="O22" i="1"/>
  <c r="N22" i="1"/>
  <c r="M22" i="1"/>
  <c r="S21" i="1"/>
  <c r="R21" i="1"/>
  <c r="Q21" i="1"/>
  <c r="P21" i="1"/>
  <c r="O21" i="1"/>
  <c r="N21" i="1"/>
  <c r="M21" i="1"/>
  <c r="S20" i="1"/>
  <c r="R20" i="1"/>
  <c r="Q20" i="1"/>
  <c r="P20" i="1"/>
  <c r="O20" i="1"/>
  <c r="N20" i="1"/>
  <c r="M20" i="1"/>
  <c r="S19" i="1"/>
  <c r="R19" i="1"/>
  <c r="Q19" i="1"/>
  <c r="P19" i="1"/>
  <c r="O19" i="1"/>
  <c r="N19" i="1"/>
  <c r="M19" i="1"/>
  <c r="S18" i="1"/>
  <c r="R18" i="1"/>
  <c r="Q18" i="1"/>
  <c r="P18" i="1"/>
  <c r="O18" i="1"/>
  <c r="N18" i="1"/>
  <c r="M18" i="1"/>
  <c r="S17" i="1"/>
  <c r="R17" i="1"/>
  <c r="Q17" i="1"/>
  <c r="P17" i="1"/>
  <c r="O17" i="1"/>
  <c r="N17" i="1"/>
  <c r="M17" i="1"/>
  <c r="S16" i="1"/>
  <c r="R16" i="1"/>
  <c r="Q16" i="1"/>
  <c r="P16" i="1"/>
  <c r="O16" i="1"/>
  <c r="N16" i="1"/>
  <c r="M16" i="1"/>
  <c r="S15" i="1"/>
  <c r="R15" i="1"/>
  <c r="Q15" i="1"/>
  <c r="P15" i="1"/>
  <c r="O15" i="1"/>
  <c r="N15" i="1"/>
  <c r="M15" i="1"/>
  <c r="S14" i="1"/>
  <c r="R14" i="1"/>
  <c r="Q14" i="1"/>
  <c r="P14" i="1"/>
  <c r="O14" i="1"/>
  <c r="N14" i="1"/>
  <c r="M14" i="1"/>
  <c r="S13" i="1"/>
  <c r="R13" i="1"/>
  <c r="Q13" i="1"/>
  <c r="P13" i="1"/>
  <c r="O13" i="1"/>
  <c r="N13" i="1"/>
  <c r="M13" i="1"/>
  <c r="S12" i="1"/>
  <c r="R12" i="1"/>
  <c r="Q12" i="1"/>
  <c r="P12" i="1"/>
  <c r="O12" i="1"/>
  <c r="N12" i="1"/>
  <c r="M12" i="1"/>
  <c r="S11" i="1"/>
  <c r="R11" i="1"/>
  <c r="Q11" i="1"/>
  <c r="P11" i="1"/>
  <c r="O11" i="1"/>
  <c r="N11" i="1"/>
  <c r="M11" i="1"/>
  <c r="S10" i="1"/>
  <c r="R10" i="1"/>
  <c r="Q10" i="1"/>
  <c r="P10" i="1"/>
  <c r="O10" i="1"/>
  <c r="N10" i="1"/>
  <c r="M10" i="1"/>
  <c r="S9" i="1"/>
  <c r="R9" i="1"/>
  <c r="Q9" i="1"/>
  <c r="P9" i="1"/>
  <c r="O9" i="1"/>
  <c r="N9" i="1"/>
  <c r="M9" i="1"/>
  <c r="S8" i="1"/>
  <c r="R8" i="1"/>
  <c r="Q8" i="1"/>
  <c r="P8" i="1"/>
  <c r="O8" i="1"/>
  <c r="N8" i="1"/>
  <c r="M8" i="1"/>
  <c r="S7" i="1"/>
  <c r="R7" i="1"/>
  <c r="Q7" i="1"/>
  <c r="P7" i="1"/>
  <c r="O7" i="1"/>
  <c r="N7" i="1"/>
  <c r="M7" i="1"/>
  <c r="S6" i="1"/>
  <c r="R6" i="1"/>
  <c r="Q6" i="1"/>
  <c r="P6" i="1"/>
  <c r="O6" i="1"/>
  <c r="N6" i="1"/>
  <c r="M6" i="1"/>
  <c r="S5" i="1"/>
  <c r="R5" i="1"/>
  <c r="Q5" i="1"/>
  <c r="P5" i="1"/>
  <c r="O5" i="1"/>
  <c r="N5" i="1"/>
  <c r="M5" i="1"/>
  <c r="S4" i="1"/>
  <c r="R4" i="1"/>
  <c r="Q4" i="1"/>
  <c r="P4" i="1"/>
  <c r="O4" i="1"/>
  <c r="N4" i="1"/>
  <c r="M4" i="1"/>
  <c r="S3" i="1"/>
  <c r="R3" i="1"/>
  <c r="Q3" i="1"/>
  <c r="P3" i="1"/>
  <c r="O3" i="1"/>
  <c r="N3" i="1"/>
  <c r="M3" i="1"/>
  <c r="S2" i="1"/>
  <c r="R2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<sst xmlns="http://schemas.openxmlformats.org/spreadsheetml/2006/main" count="211" uniqueCount="128">
  <si>
    <t>Req ID</t>
  </si>
  <si>
    <t>Month</t>
  </si>
  <si>
    <t>Client</t>
  </si>
  <si>
    <t>Job Role</t>
  </si>
  <si>
    <t>Sector</t>
  </si>
  <si>
    <t>Open Vacancies/ Target Hire</t>
  </si>
  <si>
    <t>Sourced</t>
  </si>
  <si>
    <t>Screened</t>
  </si>
  <si>
    <t>Interviewed</t>
  </si>
  <si>
    <t>Offered</t>
  </si>
  <si>
    <t>Joined</t>
  </si>
  <si>
    <t>Dropped (post-offer)</t>
  </si>
  <si>
    <t>Scr/Src</t>
  </si>
  <si>
    <t>Int/Scr</t>
  </si>
  <si>
    <t>Off/Int</t>
  </si>
  <si>
    <t>Join/Off</t>
  </si>
  <si>
    <t>Join/Src</t>
  </si>
  <si>
    <t>Hire vs Tgt</t>
  </si>
  <si>
    <t>REQ-0001</t>
  </si>
  <si>
    <t>Jan-26</t>
  </si>
  <si>
    <t>SafeHands Healthcare</t>
  </si>
  <si>
    <t>General Duty Assistant</t>
  </si>
  <si>
    <t>Healthcare</t>
  </si>
  <si>
    <t>REQ-0002</t>
  </si>
  <si>
    <t>Dec-25</t>
  </si>
  <si>
    <t>Velvet Salon Group</t>
  </si>
  <si>
    <t>Spa Therapist</t>
  </si>
  <si>
    <t>Beauty &amp; Wellness</t>
  </si>
  <si>
    <t>REQ-0003</t>
  </si>
  <si>
    <t>Mar-26</t>
  </si>
  <si>
    <t>FreshMart Retail</t>
  </si>
  <si>
    <t>Retail Sales Associate</t>
  </si>
  <si>
    <t>Retail</t>
  </si>
  <si>
    <t>REQ-0004</t>
  </si>
  <si>
    <t>UrbanThread Retail</t>
  </si>
  <si>
    <t>Cutting Master</t>
  </si>
  <si>
    <t>Apparel &amp; Made-ups</t>
  </si>
  <si>
    <t>REQ-0005</t>
  </si>
  <si>
    <t>Apr-26</t>
  </si>
  <si>
    <t>QuickServe Logistics</t>
  </si>
  <si>
    <t>Delivery Executive</t>
  </si>
  <si>
    <t>Logistics</t>
  </si>
  <si>
    <t>REQ-0006</t>
  </si>
  <si>
    <t>Inventory Clerk</t>
  </si>
  <si>
    <t>REQ-0007</t>
  </si>
  <si>
    <t>May-26</t>
  </si>
  <si>
    <t>PureSkin Spa</t>
  </si>
  <si>
    <t>Beauty Therapist</t>
  </si>
  <si>
    <t>REQ-0008</t>
  </si>
  <si>
    <t>Production Helper</t>
  </si>
  <si>
    <t>REQ-0009</t>
  </si>
  <si>
    <t>MetroMart</t>
  </si>
  <si>
    <t>Store Supervisor</t>
  </si>
  <si>
    <t>REQ-0010</t>
  </si>
  <si>
    <t>Feb-26</t>
  </si>
  <si>
    <t>Cashier</t>
  </si>
  <si>
    <t>REQ-0011</t>
  </si>
  <si>
    <t>Bloom Beauty Co</t>
  </si>
  <si>
    <t>Hair Stylist</t>
  </si>
  <si>
    <t>REQ-0012</t>
  </si>
  <si>
    <t>REQ-0013</t>
  </si>
  <si>
    <t>StitchWell Apparels</t>
  </si>
  <si>
    <t>Quality Checker</t>
  </si>
  <si>
    <t>REQ-0014</t>
  </si>
  <si>
    <t>REQ-0015</t>
  </si>
  <si>
    <t>GlowUp Wellness</t>
  </si>
  <si>
    <t>REQ-0016</t>
  </si>
  <si>
    <t>Sewing Machine Operator</t>
  </si>
  <si>
    <t>REQ-0017</t>
  </si>
  <si>
    <t>REQ-0018</t>
  </si>
  <si>
    <t>REQ-0019</t>
  </si>
  <si>
    <t>REQ-0020</t>
  </si>
  <si>
    <t>REQ-0021</t>
  </si>
  <si>
    <t>Tailor</t>
  </si>
  <si>
    <t>REQ-0022</t>
  </si>
  <si>
    <t>StayWell Hospitality</t>
  </si>
  <si>
    <t>Housekeeping Attendant</t>
  </si>
  <si>
    <t>Hospitality</t>
  </si>
  <si>
    <t>REQ-0023</t>
  </si>
  <si>
    <t>Beautician</t>
  </si>
  <si>
    <t>REQ-0024</t>
  </si>
  <si>
    <t>Phlebotomist</t>
  </si>
  <si>
    <t>REQ-0025</t>
  </si>
  <si>
    <t>Home Health Aide</t>
  </si>
  <si>
    <t>REQ-0026</t>
  </si>
  <si>
    <t>REQ-0027</t>
  </si>
  <si>
    <t>CarePlus Clinics</t>
  </si>
  <si>
    <t>REQ-0028</t>
  </si>
  <si>
    <t>Front Desk Exec</t>
  </si>
  <si>
    <t>REQ-0029</t>
  </si>
  <si>
    <t>REQ-0030</t>
  </si>
  <si>
    <t>FabKnit Mills</t>
  </si>
  <si>
    <t>REQ-0031</t>
  </si>
  <si>
    <t>REQ-0032</t>
  </si>
  <si>
    <t>Warehouse Associate</t>
  </si>
  <si>
    <t>Center Name</t>
  </si>
  <si>
    <t>KA_KOLAR_BANGARAPET_1</t>
  </si>
  <si>
    <t>KA_BANGALORE_MAHADEVPURA_1</t>
  </si>
  <si>
    <t>KL_MALAPURAM_AYANKALAM_1</t>
  </si>
  <si>
    <t>WB_KOLKATA_CIT ROAD_1</t>
  </si>
  <si>
    <t>RJ_JAIPUR_JHOTWARA_1</t>
  </si>
  <si>
    <t>Govt ITI-Aishwarya Colony-Ballari</t>
  </si>
  <si>
    <t>Govt ITI-Solapur road-Bijapur</t>
  </si>
  <si>
    <t>Govt ITI-KPT Jct-Mangalore</t>
  </si>
  <si>
    <t>Govt ITI-Hadadi road-Davangere</t>
  </si>
  <si>
    <t>TN_HOSUR_OLD BANGALORE ROAD_1</t>
  </si>
  <si>
    <t>Grindwell Norton Limited_Banglore_Devanahalli Road</t>
  </si>
  <si>
    <t>KA_BANGALORE_J C Road_1</t>
  </si>
  <si>
    <t>KA_BANGALORE_HEBBAL_1</t>
  </si>
  <si>
    <t>KA_BANGALORE_GORAGUNTEPALYA_1</t>
  </si>
  <si>
    <t>PB_PATIALA_RAJPURA_1</t>
  </si>
  <si>
    <t>TN_PONDICHERRY_PONDICHERRY_1</t>
  </si>
  <si>
    <t>TN_KRISHNAGIRI_RAMANASHREE NAGAR_1</t>
  </si>
  <si>
    <t>AS_TINSUKIA_DOOM DOOMA_1</t>
  </si>
  <si>
    <t>DN_HAVELI_AMLI_1</t>
  </si>
  <si>
    <t>GJ_KUTCH_GANDHIDHAM_1</t>
  </si>
  <si>
    <t>MH_RATNAGIRI_CHIPLUN_1</t>
  </si>
  <si>
    <t>UP_SUMERPUR_VIVEKANAND NAGAR_1</t>
  </si>
  <si>
    <t>UP_ETAH_ETAH_1</t>
  </si>
  <si>
    <t>UT_HARIDWAR_HARIDWAR_1</t>
  </si>
  <si>
    <t>KA_MYSORE_LAKSHMIPURAM_2</t>
  </si>
  <si>
    <t>KA_BENGALURU_BANASHANKARI_8</t>
  </si>
  <si>
    <t>MH_MUMBAI_NEHRU NAGAR_1</t>
  </si>
  <si>
    <t>TL_HYDERABAD_KHAIRATABAD_2</t>
  </si>
  <si>
    <t>KA_BENGALURU RURAL_HOSKOTE_2</t>
  </si>
  <si>
    <t>OD_KHORDA_RASULAGARH_2</t>
  </si>
  <si>
    <t>JH_JAMSEDPUR_CHOTAGOVINDPUR_2</t>
  </si>
  <si>
    <t>TN_KRISHNAGIRI_HOSUR_1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</si>
</sst>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9"/>
      <color rgb="FF1F2A44"/>
      <name val="Calibri"/>
      <family val="2"/>
    </font>
    <font>
      <sz val="9"/>
      <color rgb="FF0000FF"/>
      <name val="Calibri"/>
      <family val="2"/>
    </font>
    <font>
      <b/>
      <sz val="9"/>
      <color rgb="FF0E7C7B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3A5A"/>
        <bgColor rgb="FF1F2A44"/>
      </patternFill>
    </fill>
    <fill>
      <patternFill patternType="solid">
        <fgColor rgb="FFB7791F"/>
        <bgColor rgb="FFFF6600"/>
      </patternFill>
    </fill>
    <fill>
      <patternFill patternType="solid">
        <fgColor rgb="FFF4F6F9"/>
        <bgColor rgb="FFEEF2F7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6" fillId="6" borderId="2" xfId="0" applyFont="1" applyFill="1" applyBorder="1"/>
    <xf numFmtId="0" fontId="6" fillId="7" borderId="2" xfId="0" applyFont="1" applyFill="1" applyBorder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7AA-5A3B-45A2-9266-9C32D569F4AF}">
  <dimension ref="A1:S33"/>
  <sheetViews>
    <sheetView tabSelected="1" workbookViewId="0">
      <selection activeCell="C1" sqref="C1"/>
    </sheetView>
  </sheetViews>
  <sheetFormatPr defaultRowHeight="14.25" x14ac:dyDescent="0.45"/>
  <cols>
    <col min="7" max="7" width="17.19921875" bestFit="1" customWidth="1"/>
    <col min="13" max="13" width="12.6640625" bestFit="1" customWidth="1"/>
  </cols>
  <sheetData>
    <row r="1" spans="1:19" x14ac:dyDescent="0.45">
      <c r="A1" s="11" t="s">
        <v>0</v>
      </c>
      <c r="B1" s="11" t="s">
        <v>1</v>
      </c>
      <c r="C1" s="15" t="s">
        <v>95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</row>
    <row r="2" spans="1:19" x14ac:dyDescent="0.45">
      <c r="A2" s="1" t="s">
        <v>18</v>
      </c>
      <c r="B2" s="13" t="s">
        <v>19</v>
      </c>
      <c r="C2" s="16" t="s">
        <v>96</v>
      </c>
      <c r="D2" s="1" t="s">
        <v>20</v>
      </c>
      <c r="E2" s="1" t="s">
        <v>21</v>
      </c>
      <c r="F2" s="1" t="s">
        <v>22</v>
      </c>
      <c r="G2" s="2">
        <v>20</v>
      </c>
      <c r="H2" s="3">
        <v>86</v>
      </c>
      <c r="I2" s="3">
        <v>59</v>
      </c>
      <c r="J2" s="3">
        <v>32</v>
      </c>
      <c r="K2" s="3">
        <v>23</v>
      </c>
      <c r="L2" s="3">
        <v>20</v>
      </c>
      <c r="M2" s="4">
        <f t="shared" ref="M2:M33" si="0">K2-L2</f>
        <v>3</v>
      </c>
      <c r="N2" s="5">
        <f t="shared" ref="N2:Q33" si="1">IF(H2=0,"",I2/H2)</f>
        <v>0.68604651162790697</v>
      </c>
      <c r="O2" s="5">
        <f t="shared" si="1"/>
        <v>0.5423728813559322</v>
      </c>
      <c r="P2" s="5">
        <f t="shared" si="1"/>
        <v>0.71875</v>
      </c>
      <c r="Q2" s="5">
        <f t="shared" si="1"/>
        <v>0.86956521739130432</v>
      </c>
      <c r="R2" s="5">
        <f t="shared" ref="R2:R33" si="2">IF(H2=0,"",L2/H2)</f>
        <v>0.23255813953488372</v>
      </c>
      <c r="S2" s="5">
        <f t="shared" ref="S2:S33" si="3">IF(G2=0,"",L2/G2)</f>
        <v>1</v>
      </c>
    </row>
    <row r="3" spans="1:19" x14ac:dyDescent="0.45">
      <c r="A3" s="6" t="s">
        <v>23</v>
      </c>
      <c r="B3" s="14" t="s">
        <v>24</v>
      </c>
      <c r="C3" s="16" t="s">
        <v>97</v>
      </c>
      <c r="D3" s="6" t="s">
        <v>25</v>
      </c>
      <c r="E3" s="6" t="s">
        <v>26</v>
      </c>
      <c r="F3" s="6" t="s">
        <v>27</v>
      </c>
      <c r="G3" s="7">
        <v>26</v>
      </c>
      <c r="H3" s="8">
        <v>112</v>
      </c>
      <c r="I3" s="8">
        <v>83</v>
      </c>
      <c r="J3" s="8">
        <v>48</v>
      </c>
      <c r="K3" s="8">
        <v>31</v>
      </c>
      <c r="L3" s="8">
        <v>28</v>
      </c>
      <c r="M3" s="9">
        <f t="shared" si="0"/>
        <v>3</v>
      </c>
      <c r="N3" s="10">
        <f t="shared" si="1"/>
        <v>0.7410714285714286</v>
      </c>
      <c r="O3" s="10">
        <f t="shared" si="1"/>
        <v>0.57831325301204817</v>
      </c>
      <c r="P3" s="10">
        <f t="shared" si="1"/>
        <v>0.64583333333333337</v>
      </c>
      <c r="Q3" s="10">
        <f t="shared" si="1"/>
        <v>0.90322580645161288</v>
      </c>
      <c r="R3" s="10">
        <f t="shared" si="2"/>
        <v>0.25</v>
      </c>
      <c r="S3" s="10">
        <f t="shared" si="3"/>
        <v>1.0769230769230769</v>
      </c>
    </row>
    <row r="4" spans="1:19" x14ac:dyDescent="0.45">
      <c r="A4" s="1" t="s">
        <v>28</v>
      </c>
      <c r="B4" s="13" t="s">
        <v>29</v>
      </c>
      <c r="C4" s="16" t="s">
        <v>98</v>
      </c>
      <c r="D4" s="1" t="s">
        <v>30</v>
      </c>
      <c r="E4" s="1" t="s">
        <v>31</v>
      </c>
      <c r="F4" s="1" t="s">
        <v>32</v>
      </c>
      <c r="G4" s="2">
        <v>22</v>
      </c>
      <c r="H4" s="3">
        <v>105</v>
      </c>
      <c r="I4" s="3">
        <v>70</v>
      </c>
      <c r="J4" s="3">
        <v>41</v>
      </c>
      <c r="K4" s="3">
        <v>26</v>
      </c>
      <c r="L4" s="3">
        <v>18</v>
      </c>
      <c r="M4" s="4">
        <f t="shared" si="0"/>
        <v>8</v>
      </c>
      <c r="N4" s="5">
        <f t="shared" si="1"/>
        <v>0.66666666666666663</v>
      </c>
      <c r="O4" s="5">
        <f t="shared" si="1"/>
        <v>0.58571428571428574</v>
      </c>
      <c r="P4" s="5">
        <f t="shared" si="1"/>
        <v>0.63414634146341464</v>
      </c>
      <c r="Q4" s="5">
        <f t="shared" si="1"/>
        <v>0.69230769230769229</v>
      </c>
      <c r="R4" s="5">
        <f t="shared" si="2"/>
        <v>0.17142857142857143</v>
      </c>
      <c r="S4" s="5">
        <f t="shared" si="3"/>
        <v>0.81818181818181823</v>
      </c>
    </row>
    <row r="5" spans="1:19" x14ac:dyDescent="0.45">
      <c r="A5" s="6" t="s">
        <v>33</v>
      </c>
      <c r="B5" s="14" t="s">
        <v>29</v>
      </c>
      <c r="C5" s="16" t="s">
        <v>99</v>
      </c>
      <c r="D5" s="6" t="s">
        <v>34</v>
      </c>
      <c r="E5" s="6" t="s">
        <v>35</v>
      </c>
      <c r="F5" s="6" t="s">
        <v>36</v>
      </c>
      <c r="G5" s="7">
        <v>54</v>
      </c>
      <c r="H5" s="8">
        <v>254</v>
      </c>
      <c r="I5" s="8">
        <v>141</v>
      </c>
      <c r="J5" s="8">
        <v>88</v>
      </c>
      <c r="K5" s="8">
        <v>62</v>
      </c>
      <c r="L5" s="8">
        <v>53</v>
      </c>
      <c r="M5" s="9">
        <f t="shared" si="0"/>
        <v>9</v>
      </c>
      <c r="N5" s="10">
        <f t="shared" si="1"/>
        <v>0.55511811023622049</v>
      </c>
      <c r="O5" s="10">
        <f t="shared" si="1"/>
        <v>0.62411347517730498</v>
      </c>
      <c r="P5" s="10">
        <f t="shared" si="1"/>
        <v>0.70454545454545459</v>
      </c>
      <c r="Q5" s="10">
        <f t="shared" si="1"/>
        <v>0.85483870967741937</v>
      </c>
      <c r="R5" s="10">
        <f t="shared" si="2"/>
        <v>0.20866141732283464</v>
      </c>
      <c r="S5" s="10">
        <f t="shared" si="3"/>
        <v>0.98148148148148151</v>
      </c>
    </row>
    <row r="6" spans="1:19" x14ac:dyDescent="0.45">
      <c r="A6" s="1" t="s">
        <v>37</v>
      </c>
      <c r="B6" s="13" t="s">
        <v>38</v>
      </c>
      <c r="C6" s="16" t="s">
        <v>100</v>
      </c>
      <c r="D6" s="1" t="s">
        <v>39</v>
      </c>
      <c r="E6" s="1" t="s">
        <v>40</v>
      </c>
      <c r="F6" s="1" t="s">
        <v>41</v>
      </c>
      <c r="G6" s="2">
        <v>15</v>
      </c>
      <c r="H6" s="3">
        <v>60</v>
      </c>
      <c r="I6" s="3">
        <v>43</v>
      </c>
      <c r="J6" s="3">
        <v>22</v>
      </c>
      <c r="K6" s="3">
        <v>16</v>
      </c>
      <c r="L6" s="3">
        <v>13</v>
      </c>
      <c r="M6" s="4">
        <f t="shared" si="0"/>
        <v>3</v>
      </c>
      <c r="N6" s="5">
        <f t="shared" si="1"/>
        <v>0.71666666666666667</v>
      </c>
      <c r="O6" s="5">
        <f t="shared" si="1"/>
        <v>0.51162790697674421</v>
      </c>
      <c r="P6" s="5">
        <f t="shared" si="1"/>
        <v>0.72727272727272729</v>
      </c>
      <c r="Q6" s="5">
        <f t="shared" si="1"/>
        <v>0.8125</v>
      </c>
      <c r="R6" s="5">
        <f t="shared" si="2"/>
        <v>0.21666666666666667</v>
      </c>
      <c r="S6" s="5">
        <f t="shared" si="3"/>
        <v>0.8666666666666667</v>
      </c>
    </row>
    <row r="7" spans="1:19" x14ac:dyDescent="0.45">
      <c r="A7" s="6" t="s">
        <v>42</v>
      </c>
      <c r="B7" s="14" t="s">
        <v>38</v>
      </c>
      <c r="C7" s="17" t="s">
        <v>101</v>
      </c>
      <c r="D7" s="6" t="s">
        <v>39</v>
      </c>
      <c r="E7" s="6" t="s">
        <v>43</v>
      </c>
      <c r="F7" s="6" t="s">
        <v>41</v>
      </c>
      <c r="G7" s="7">
        <v>27</v>
      </c>
      <c r="H7" s="8">
        <v>122</v>
      </c>
      <c r="I7" s="8">
        <v>78</v>
      </c>
      <c r="J7" s="8">
        <v>46</v>
      </c>
      <c r="K7" s="8">
        <v>29</v>
      </c>
      <c r="L7" s="8">
        <v>21</v>
      </c>
      <c r="M7" s="9">
        <f t="shared" si="0"/>
        <v>8</v>
      </c>
      <c r="N7" s="10">
        <f t="shared" si="1"/>
        <v>0.63934426229508201</v>
      </c>
      <c r="O7" s="10">
        <f t="shared" si="1"/>
        <v>0.58974358974358976</v>
      </c>
      <c r="P7" s="10">
        <f t="shared" si="1"/>
        <v>0.63043478260869568</v>
      </c>
      <c r="Q7" s="10">
        <f t="shared" si="1"/>
        <v>0.72413793103448276</v>
      </c>
      <c r="R7" s="10">
        <f t="shared" si="2"/>
        <v>0.1721311475409836</v>
      </c>
      <c r="S7" s="10">
        <f t="shared" si="3"/>
        <v>0.77777777777777779</v>
      </c>
    </row>
    <row r="8" spans="1:19" x14ac:dyDescent="0.45">
      <c r="A8" s="1" t="s">
        <v>44</v>
      </c>
      <c r="B8" s="13" t="s">
        <v>45</v>
      </c>
      <c r="C8" s="17" t="s">
        <v>102</v>
      </c>
      <c r="D8" s="1" t="s">
        <v>46</v>
      </c>
      <c r="E8" s="1" t="s">
        <v>47</v>
      </c>
      <c r="F8" s="1" t="s">
        <v>27</v>
      </c>
      <c r="G8" s="2">
        <v>27</v>
      </c>
      <c r="H8" s="3">
        <v>146</v>
      </c>
      <c r="I8" s="3">
        <v>105</v>
      </c>
      <c r="J8" s="3">
        <v>59</v>
      </c>
      <c r="K8" s="3">
        <v>41</v>
      </c>
      <c r="L8" s="3">
        <v>31</v>
      </c>
      <c r="M8" s="4">
        <f t="shared" si="0"/>
        <v>10</v>
      </c>
      <c r="N8" s="5">
        <f t="shared" si="1"/>
        <v>0.71917808219178081</v>
      </c>
      <c r="O8" s="5">
        <f t="shared" si="1"/>
        <v>0.56190476190476191</v>
      </c>
      <c r="P8" s="5">
        <f t="shared" si="1"/>
        <v>0.69491525423728817</v>
      </c>
      <c r="Q8" s="5">
        <f t="shared" si="1"/>
        <v>0.75609756097560976</v>
      </c>
      <c r="R8" s="5">
        <f t="shared" si="2"/>
        <v>0.21232876712328766</v>
      </c>
      <c r="S8" s="5">
        <f t="shared" si="3"/>
        <v>1.1481481481481481</v>
      </c>
    </row>
    <row r="9" spans="1:19" x14ac:dyDescent="0.45">
      <c r="A9" s="6" t="s">
        <v>48</v>
      </c>
      <c r="B9" s="14" t="s">
        <v>19</v>
      </c>
      <c r="C9" s="17" t="s">
        <v>103</v>
      </c>
      <c r="D9" s="6" t="s">
        <v>34</v>
      </c>
      <c r="E9" s="6" t="s">
        <v>49</v>
      </c>
      <c r="F9" s="6" t="s">
        <v>36</v>
      </c>
      <c r="G9" s="7">
        <v>47</v>
      </c>
      <c r="H9" s="8">
        <v>281</v>
      </c>
      <c r="I9" s="8">
        <v>182</v>
      </c>
      <c r="J9" s="8">
        <v>96</v>
      </c>
      <c r="K9" s="8">
        <v>63</v>
      </c>
      <c r="L9" s="8">
        <v>48</v>
      </c>
      <c r="M9" s="9">
        <f t="shared" si="0"/>
        <v>15</v>
      </c>
      <c r="N9" s="10">
        <f t="shared" si="1"/>
        <v>0.64768683274021355</v>
      </c>
      <c r="O9" s="10">
        <f t="shared" si="1"/>
        <v>0.52747252747252749</v>
      </c>
      <c r="P9" s="10">
        <f t="shared" si="1"/>
        <v>0.65625</v>
      </c>
      <c r="Q9" s="10">
        <f t="shared" si="1"/>
        <v>0.76190476190476186</v>
      </c>
      <c r="R9" s="10">
        <f t="shared" si="2"/>
        <v>0.1708185053380783</v>
      </c>
      <c r="S9" s="10">
        <f t="shared" si="3"/>
        <v>1.0212765957446808</v>
      </c>
    </row>
    <row r="10" spans="1:19" x14ac:dyDescent="0.45">
      <c r="A10" s="1" t="s">
        <v>50</v>
      </c>
      <c r="B10" s="13" t="s">
        <v>29</v>
      </c>
      <c r="C10" s="17" t="s">
        <v>104</v>
      </c>
      <c r="D10" s="1" t="s">
        <v>51</v>
      </c>
      <c r="E10" s="1" t="s">
        <v>52</v>
      </c>
      <c r="F10" s="1" t="s">
        <v>32</v>
      </c>
      <c r="G10" s="2">
        <v>22</v>
      </c>
      <c r="H10" s="3">
        <v>130</v>
      </c>
      <c r="I10" s="3">
        <v>77</v>
      </c>
      <c r="J10" s="3">
        <v>44</v>
      </c>
      <c r="K10" s="3">
        <v>31</v>
      </c>
      <c r="L10" s="3">
        <v>24</v>
      </c>
      <c r="M10" s="4">
        <f t="shared" si="0"/>
        <v>7</v>
      </c>
      <c r="N10" s="5">
        <f t="shared" si="1"/>
        <v>0.59230769230769231</v>
      </c>
      <c r="O10" s="5">
        <f t="shared" si="1"/>
        <v>0.5714285714285714</v>
      </c>
      <c r="P10" s="5">
        <f t="shared" si="1"/>
        <v>0.70454545454545459</v>
      </c>
      <c r="Q10" s="5">
        <f t="shared" si="1"/>
        <v>0.77419354838709675</v>
      </c>
      <c r="R10" s="5">
        <f t="shared" si="2"/>
        <v>0.18461538461538463</v>
      </c>
      <c r="S10" s="5">
        <f t="shared" si="3"/>
        <v>1.0909090909090908</v>
      </c>
    </row>
    <row r="11" spans="1:19" x14ac:dyDescent="0.45">
      <c r="A11" s="6" t="s">
        <v>53</v>
      </c>
      <c r="B11" s="14" t="s">
        <v>54</v>
      </c>
      <c r="C11" s="16" t="s">
        <v>105</v>
      </c>
      <c r="D11" s="6" t="s">
        <v>30</v>
      </c>
      <c r="E11" s="6" t="s">
        <v>55</v>
      </c>
      <c r="F11" s="6" t="s">
        <v>32</v>
      </c>
      <c r="G11" s="7">
        <v>41</v>
      </c>
      <c r="H11" s="8">
        <v>242</v>
      </c>
      <c r="I11" s="8">
        <v>139</v>
      </c>
      <c r="J11" s="8">
        <v>96</v>
      </c>
      <c r="K11" s="8">
        <v>59</v>
      </c>
      <c r="L11" s="8">
        <v>42</v>
      </c>
      <c r="M11" s="9">
        <f t="shared" si="0"/>
        <v>17</v>
      </c>
      <c r="N11" s="10">
        <f t="shared" si="1"/>
        <v>0.57438016528925617</v>
      </c>
      <c r="O11" s="10">
        <f t="shared" si="1"/>
        <v>0.69064748201438853</v>
      </c>
      <c r="P11" s="10">
        <f t="shared" si="1"/>
        <v>0.61458333333333337</v>
      </c>
      <c r="Q11" s="10">
        <f t="shared" si="1"/>
        <v>0.71186440677966101</v>
      </c>
      <c r="R11" s="10">
        <f t="shared" si="2"/>
        <v>0.17355371900826447</v>
      </c>
      <c r="S11" s="10">
        <f t="shared" si="3"/>
        <v>1.024390243902439</v>
      </c>
    </row>
    <row r="12" spans="1:19" x14ac:dyDescent="0.45">
      <c r="A12" s="1" t="s">
        <v>56</v>
      </c>
      <c r="B12" s="13" t="s">
        <v>19</v>
      </c>
      <c r="C12" s="17" t="s">
        <v>106</v>
      </c>
      <c r="D12" s="1" t="s">
        <v>57</v>
      </c>
      <c r="E12" s="1" t="s">
        <v>58</v>
      </c>
      <c r="F12" s="1" t="s">
        <v>27</v>
      </c>
      <c r="G12" s="2">
        <v>36</v>
      </c>
      <c r="H12" s="3">
        <v>204</v>
      </c>
      <c r="I12" s="3">
        <v>151</v>
      </c>
      <c r="J12" s="3">
        <v>77</v>
      </c>
      <c r="K12" s="3">
        <v>54</v>
      </c>
      <c r="L12" s="3">
        <v>40</v>
      </c>
      <c r="M12" s="4">
        <f t="shared" si="0"/>
        <v>14</v>
      </c>
      <c r="N12" s="5">
        <f t="shared" si="1"/>
        <v>0.74019607843137258</v>
      </c>
      <c r="O12" s="5">
        <f t="shared" si="1"/>
        <v>0.50993377483443714</v>
      </c>
      <c r="P12" s="5">
        <f t="shared" si="1"/>
        <v>0.70129870129870131</v>
      </c>
      <c r="Q12" s="5">
        <f t="shared" si="1"/>
        <v>0.7407407407407407</v>
      </c>
      <c r="R12" s="5">
        <f t="shared" si="2"/>
        <v>0.19607843137254902</v>
      </c>
      <c r="S12" s="5">
        <f t="shared" si="3"/>
        <v>1.1111111111111112</v>
      </c>
    </row>
    <row r="13" spans="1:19" x14ac:dyDescent="0.45">
      <c r="A13" s="6" t="s">
        <v>59</v>
      </c>
      <c r="B13" s="14" t="s">
        <v>19</v>
      </c>
      <c r="C13" s="16" t="s">
        <v>107</v>
      </c>
      <c r="D13" s="6" t="s">
        <v>46</v>
      </c>
      <c r="E13" s="6" t="s">
        <v>26</v>
      </c>
      <c r="F13" s="6" t="s">
        <v>27</v>
      </c>
      <c r="G13" s="7">
        <v>53</v>
      </c>
      <c r="H13" s="8">
        <v>299</v>
      </c>
      <c r="I13" s="8">
        <v>187</v>
      </c>
      <c r="J13" s="8">
        <v>105</v>
      </c>
      <c r="K13" s="8">
        <v>72</v>
      </c>
      <c r="L13" s="8">
        <v>62</v>
      </c>
      <c r="M13" s="9">
        <f t="shared" si="0"/>
        <v>10</v>
      </c>
      <c r="N13" s="10">
        <f t="shared" si="1"/>
        <v>0.62541806020066892</v>
      </c>
      <c r="O13" s="10">
        <f t="shared" si="1"/>
        <v>0.56149732620320858</v>
      </c>
      <c r="P13" s="10">
        <f t="shared" si="1"/>
        <v>0.68571428571428572</v>
      </c>
      <c r="Q13" s="10">
        <f t="shared" si="1"/>
        <v>0.86111111111111116</v>
      </c>
      <c r="R13" s="10">
        <f t="shared" si="2"/>
        <v>0.20735785953177258</v>
      </c>
      <c r="S13" s="10">
        <f t="shared" si="3"/>
        <v>1.1698113207547169</v>
      </c>
    </row>
    <row r="14" spans="1:19" x14ac:dyDescent="0.45">
      <c r="A14" s="1" t="s">
        <v>60</v>
      </c>
      <c r="B14" s="13" t="s">
        <v>54</v>
      </c>
      <c r="C14" s="16" t="s">
        <v>108</v>
      </c>
      <c r="D14" s="1" t="s">
        <v>61</v>
      </c>
      <c r="E14" s="1" t="s">
        <v>62</v>
      </c>
      <c r="F14" s="1" t="s">
        <v>36</v>
      </c>
      <c r="G14" s="2">
        <v>24</v>
      </c>
      <c r="H14" s="3">
        <v>128</v>
      </c>
      <c r="I14" s="3">
        <v>81</v>
      </c>
      <c r="J14" s="3">
        <v>42</v>
      </c>
      <c r="K14" s="3">
        <v>28</v>
      </c>
      <c r="L14" s="3">
        <v>24</v>
      </c>
      <c r="M14" s="4">
        <f t="shared" si="0"/>
        <v>4</v>
      </c>
      <c r="N14" s="5">
        <f t="shared" si="1"/>
        <v>0.6328125</v>
      </c>
      <c r="O14" s="5">
        <f t="shared" si="1"/>
        <v>0.51851851851851849</v>
      </c>
      <c r="P14" s="5">
        <f t="shared" si="1"/>
        <v>0.66666666666666663</v>
      </c>
      <c r="Q14" s="5">
        <f t="shared" si="1"/>
        <v>0.8571428571428571</v>
      </c>
      <c r="R14" s="5">
        <f t="shared" si="2"/>
        <v>0.1875</v>
      </c>
      <c r="S14" s="5">
        <f t="shared" si="3"/>
        <v>1</v>
      </c>
    </row>
    <row r="15" spans="1:19" x14ac:dyDescent="0.45">
      <c r="A15" s="6" t="s">
        <v>63</v>
      </c>
      <c r="B15" s="14" t="s">
        <v>19</v>
      </c>
      <c r="C15" s="16" t="s">
        <v>109</v>
      </c>
      <c r="D15" s="6" t="s">
        <v>57</v>
      </c>
      <c r="E15" s="6" t="s">
        <v>47</v>
      </c>
      <c r="F15" s="6" t="s">
        <v>27</v>
      </c>
      <c r="G15" s="7">
        <v>30</v>
      </c>
      <c r="H15" s="8">
        <v>164</v>
      </c>
      <c r="I15" s="8">
        <v>99</v>
      </c>
      <c r="J15" s="8">
        <v>56</v>
      </c>
      <c r="K15" s="8">
        <v>32</v>
      </c>
      <c r="L15" s="8">
        <v>26</v>
      </c>
      <c r="M15" s="9">
        <f t="shared" si="0"/>
        <v>6</v>
      </c>
      <c r="N15" s="10">
        <f t="shared" si="1"/>
        <v>0.60365853658536583</v>
      </c>
      <c r="O15" s="10">
        <f t="shared" si="1"/>
        <v>0.56565656565656564</v>
      </c>
      <c r="P15" s="10">
        <f t="shared" si="1"/>
        <v>0.5714285714285714</v>
      </c>
      <c r="Q15" s="10">
        <f t="shared" si="1"/>
        <v>0.8125</v>
      </c>
      <c r="R15" s="10">
        <f t="shared" si="2"/>
        <v>0.15853658536585366</v>
      </c>
      <c r="S15" s="10">
        <f t="shared" si="3"/>
        <v>0.8666666666666667</v>
      </c>
    </row>
    <row r="16" spans="1:19" x14ac:dyDescent="0.45">
      <c r="A16" s="1" t="s">
        <v>64</v>
      </c>
      <c r="B16" s="13" t="s">
        <v>54</v>
      </c>
      <c r="C16" s="17" t="s">
        <v>110</v>
      </c>
      <c r="D16" s="1" t="s">
        <v>65</v>
      </c>
      <c r="E16" s="1" t="s">
        <v>47</v>
      </c>
      <c r="F16" s="1" t="s">
        <v>27</v>
      </c>
      <c r="G16" s="2">
        <v>49</v>
      </c>
      <c r="H16" s="3">
        <v>278</v>
      </c>
      <c r="I16" s="3">
        <v>187</v>
      </c>
      <c r="J16" s="3">
        <v>102</v>
      </c>
      <c r="K16" s="3">
        <v>74</v>
      </c>
      <c r="L16" s="3">
        <v>54</v>
      </c>
      <c r="M16" s="4">
        <f t="shared" si="0"/>
        <v>20</v>
      </c>
      <c r="N16" s="5">
        <f t="shared" si="1"/>
        <v>0.67266187050359716</v>
      </c>
      <c r="O16" s="5">
        <f t="shared" si="1"/>
        <v>0.54545454545454541</v>
      </c>
      <c r="P16" s="5">
        <f t="shared" si="1"/>
        <v>0.72549019607843135</v>
      </c>
      <c r="Q16" s="5">
        <f t="shared" si="1"/>
        <v>0.72972972972972971</v>
      </c>
      <c r="R16" s="5">
        <f t="shared" si="2"/>
        <v>0.19424460431654678</v>
      </c>
      <c r="S16" s="5">
        <f t="shared" si="3"/>
        <v>1.1020408163265305</v>
      </c>
    </row>
    <row r="17" spans="1:19" x14ac:dyDescent="0.45">
      <c r="A17" s="6" t="s">
        <v>66</v>
      </c>
      <c r="B17" s="14" t="s">
        <v>19</v>
      </c>
      <c r="C17" s="17" t="s">
        <v>111</v>
      </c>
      <c r="D17" s="6" t="s">
        <v>34</v>
      </c>
      <c r="E17" s="6" t="s">
        <v>67</v>
      </c>
      <c r="F17" s="6" t="s">
        <v>36</v>
      </c>
      <c r="G17" s="7">
        <v>39</v>
      </c>
      <c r="H17" s="8">
        <v>224</v>
      </c>
      <c r="I17" s="8">
        <v>153</v>
      </c>
      <c r="J17" s="8">
        <v>81</v>
      </c>
      <c r="K17" s="8">
        <v>51</v>
      </c>
      <c r="L17" s="8">
        <v>39</v>
      </c>
      <c r="M17" s="9">
        <f t="shared" si="0"/>
        <v>12</v>
      </c>
      <c r="N17" s="10">
        <f t="shared" si="1"/>
        <v>0.6830357142857143</v>
      </c>
      <c r="O17" s="10">
        <f t="shared" si="1"/>
        <v>0.52941176470588236</v>
      </c>
      <c r="P17" s="10">
        <f t="shared" si="1"/>
        <v>0.62962962962962965</v>
      </c>
      <c r="Q17" s="10">
        <f t="shared" si="1"/>
        <v>0.76470588235294112</v>
      </c>
      <c r="R17" s="10">
        <f t="shared" si="2"/>
        <v>0.17410714285714285</v>
      </c>
      <c r="S17" s="10">
        <f t="shared" si="3"/>
        <v>1</v>
      </c>
    </row>
    <row r="18" spans="1:19" x14ac:dyDescent="0.45">
      <c r="A18" s="1" t="s">
        <v>68</v>
      </c>
      <c r="B18" s="13" t="s">
        <v>19</v>
      </c>
      <c r="C18" s="17" t="s">
        <v>112</v>
      </c>
      <c r="D18" s="1" t="s">
        <v>30</v>
      </c>
      <c r="E18" s="1" t="s">
        <v>52</v>
      </c>
      <c r="F18" s="1" t="s">
        <v>32</v>
      </c>
      <c r="G18" s="2">
        <v>39</v>
      </c>
      <c r="H18" s="3">
        <v>218</v>
      </c>
      <c r="I18" s="3">
        <v>128</v>
      </c>
      <c r="J18" s="3">
        <v>73</v>
      </c>
      <c r="K18" s="3">
        <v>47</v>
      </c>
      <c r="L18" s="3">
        <v>35</v>
      </c>
      <c r="M18" s="4">
        <f t="shared" si="0"/>
        <v>12</v>
      </c>
      <c r="N18" s="5">
        <f t="shared" si="1"/>
        <v>0.58715596330275233</v>
      </c>
      <c r="O18" s="5">
        <f t="shared" si="1"/>
        <v>0.5703125</v>
      </c>
      <c r="P18" s="5">
        <f t="shared" si="1"/>
        <v>0.64383561643835618</v>
      </c>
      <c r="Q18" s="5">
        <f t="shared" si="1"/>
        <v>0.74468085106382975</v>
      </c>
      <c r="R18" s="5">
        <f t="shared" si="2"/>
        <v>0.16055045871559634</v>
      </c>
      <c r="S18" s="5">
        <f t="shared" si="3"/>
        <v>0.89743589743589747</v>
      </c>
    </row>
    <row r="19" spans="1:19" x14ac:dyDescent="0.45">
      <c r="A19" s="6" t="s">
        <v>69</v>
      </c>
      <c r="B19" s="14" t="s">
        <v>24</v>
      </c>
      <c r="C19" s="17" t="s">
        <v>113</v>
      </c>
      <c r="D19" s="6" t="s">
        <v>34</v>
      </c>
      <c r="E19" s="6" t="s">
        <v>62</v>
      </c>
      <c r="F19" s="6" t="s">
        <v>36</v>
      </c>
      <c r="G19" s="7">
        <v>11</v>
      </c>
      <c r="H19" s="8">
        <v>65</v>
      </c>
      <c r="I19" s="8">
        <v>44</v>
      </c>
      <c r="J19" s="8">
        <v>24</v>
      </c>
      <c r="K19" s="8">
        <v>15</v>
      </c>
      <c r="L19" s="8">
        <v>12</v>
      </c>
      <c r="M19" s="9">
        <f t="shared" si="0"/>
        <v>3</v>
      </c>
      <c r="N19" s="10">
        <f t="shared" si="1"/>
        <v>0.67692307692307696</v>
      </c>
      <c r="O19" s="10">
        <f t="shared" si="1"/>
        <v>0.54545454545454541</v>
      </c>
      <c r="P19" s="10">
        <f t="shared" si="1"/>
        <v>0.625</v>
      </c>
      <c r="Q19" s="10">
        <f t="shared" si="1"/>
        <v>0.8</v>
      </c>
      <c r="R19" s="10">
        <f t="shared" si="2"/>
        <v>0.18461538461538463</v>
      </c>
      <c r="S19" s="10">
        <f t="shared" si="3"/>
        <v>1.0909090909090908</v>
      </c>
    </row>
    <row r="20" spans="1:19" x14ac:dyDescent="0.45">
      <c r="A20" s="1" t="s">
        <v>70</v>
      </c>
      <c r="B20" s="13" t="s">
        <v>24</v>
      </c>
      <c r="C20" s="17" t="s">
        <v>114</v>
      </c>
      <c r="D20" s="1" t="s">
        <v>46</v>
      </c>
      <c r="E20" s="1" t="s">
        <v>26</v>
      </c>
      <c r="F20" s="1" t="s">
        <v>27</v>
      </c>
      <c r="G20" s="2">
        <v>59</v>
      </c>
      <c r="H20" s="3">
        <v>324</v>
      </c>
      <c r="I20" s="3">
        <v>217</v>
      </c>
      <c r="J20" s="3">
        <v>123</v>
      </c>
      <c r="K20" s="3">
        <v>83</v>
      </c>
      <c r="L20" s="3">
        <v>69</v>
      </c>
      <c r="M20" s="4">
        <f t="shared" si="0"/>
        <v>14</v>
      </c>
      <c r="N20" s="5">
        <f t="shared" si="1"/>
        <v>0.66975308641975306</v>
      </c>
      <c r="O20" s="5">
        <f t="shared" si="1"/>
        <v>0.56682027649769584</v>
      </c>
      <c r="P20" s="5">
        <f t="shared" si="1"/>
        <v>0.67479674796747968</v>
      </c>
      <c r="Q20" s="5">
        <f t="shared" si="1"/>
        <v>0.83132530120481929</v>
      </c>
      <c r="R20" s="5">
        <f t="shared" si="2"/>
        <v>0.21296296296296297</v>
      </c>
      <c r="S20" s="5">
        <f t="shared" si="3"/>
        <v>1.1694915254237288</v>
      </c>
    </row>
    <row r="21" spans="1:19" x14ac:dyDescent="0.45">
      <c r="A21" s="6" t="s">
        <v>71</v>
      </c>
      <c r="B21" s="14" t="s">
        <v>29</v>
      </c>
      <c r="C21" s="17" t="s">
        <v>115</v>
      </c>
      <c r="D21" s="6" t="s">
        <v>20</v>
      </c>
      <c r="E21" s="6" t="s">
        <v>21</v>
      </c>
      <c r="F21" s="6" t="s">
        <v>22</v>
      </c>
      <c r="G21" s="7">
        <v>29</v>
      </c>
      <c r="H21" s="8">
        <v>158</v>
      </c>
      <c r="I21" s="8">
        <v>87</v>
      </c>
      <c r="J21" s="8">
        <v>49</v>
      </c>
      <c r="K21" s="8">
        <v>28</v>
      </c>
      <c r="L21" s="8">
        <v>25</v>
      </c>
      <c r="M21" s="9">
        <f t="shared" si="0"/>
        <v>3</v>
      </c>
      <c r="N21" s="10">
        <f t="shared" si="1"/>
        <v>0.55063291139240511</v>
      </c>
      <c r="O21" s="10">
        <f t="shared" si="1"/>
        <v>0.56321839080459768</v>
      </c>
      <c r="P21" s="10">
        <f t="shared" si="1"/>
        <v>0.5714285714285714</v>
      </c>
      <c r="Q21" s="10">
        <f t="shared" si="1"/>
        <v>0.8928571428571429</v>
      </c>
      <c r="R21" s="10">
        <f t="shared" si="2"/>
        <v>0.15822784810126583</v>
      </c>
      <c r="S21" s="10">
        <f t="shared" si="3"/>
        <v>0.86206896551724133</v>
      </c>
    </row>
    <row r="22" spans="1:19" x14ac:dyDescent="0.45">
      <c r="A22" s="1" t="s">
        <v>72</v>
      </c>
      <c r="B22" s="13" t="s">
        <v>29</v>
      </c>
      <c r="C22" s="17" t="s">
        <v>116</v>
      </c>
      <c r="D22" s="1" t="s">
        <v>61</v>
      </c>
      <c r="E22" s="1" t="s">
        <v>73</v>
      </c>
      <c r="F22" s="1" t="s">
        <v>36</v>
      </c>
      <c r="G22" s="2">
        <v>60</v>
      </c>
      <c r="H22" s="3">
        <v>290</v>
      </c>
      <c r="I22" s="3">
        <v>215</v>
      </c>
      <c r="J22" s="3">
        <v>130</v>
      </c>
      <c r="K22" s="3">
        <v>95</v>
      </c>
      <c r="L22" s="3">
        <v>83</v>
      </c>
      <c r="M22" s="4">
        <f t="shared" si="0"/>
        <v>12</v>
      </c>
      <c r="N22" s="5">
        <f t="shared" si="1"/>
        <v>0.74137931034482762</v>
      </c>
      <c r="O22" s="5">
        <f t="shared" si="1"/>
        <v>0.60465116279069764</v>
      </c>
      <c r="P22" s="5">
        <f t="shared" si="1"/>
        <v>0.73076923076923073</v>
      </c>
      <c r="Q22" s="5">
        <f t="shared" si="1"/>
        <v>0.87368421052631584</v>
      </c>
      <c r="R22" s="5">
        <f t="shared" si="2"/>
        <v>0.28620689655172415</v>
      </c>
      <c r="S22" s="5">
        <f t="shared" si="3"/>
        <v>1.3833333333333333</v>
      </c>
    </row>
    <row r="23" spans="1:19" x14ac:dyDescent="0.45">
      <c r="A23" s="6" t="s">
        <v>74</v>
      </c>
      <c r="B23" s="14" t="s">
        <v>24</v>
      </c>
      <c r="C23" s="17" t="s">
        <v>117</v>
      </c>
      <c r="D23" s="6" t="s">
        <v>75</v>
      </c>
      <c r="E23" s="6" t="s">
        <v>76</v>
      </c>
      <c r="F23" s="6" t="s">
        <v>77</v>
      </c>
      <c r="G23" s="7">
        <v>17</v>
      </c>
      <c r="H23" s="8">
        <v>79</v>
      </c>
      <c r="I23" s="8">
        <v>44</v>
      </c>
      <c r="J23" s="8">
        <v>28</v>
      </c>
      <c r="K23" s="8">
        <v>16</v>
      </c>
      <c r="L23" s="8">
        <v>13</v>
      </c>
      <c r="M23" s="9">
        <f t="shared" si="0"/>
        <v>3</v>
      </c>
      <c r="N23" s="10">
        <f t="shared" si="1"/>
        <v>0.55696202531645567</v>
      </c>
      <c r="O23" s="10">
        <f t="shared" si="1"/>
        <v>0.63636363636363635</v>
      </c>
      <c r="P23" s="10">
        <f t="shared" si="1"/>
        <v>0.5714285714285714</v>
      </c>
      <c r="Q23" s="10">
        <f t="shared" si="1"/>
        <v>0.8125</v>
      </c>
      <c r="R23" s="10">
        <f t="shared" si="2"/>
        <v>0.16455696202531644</v>
      </c>
      <c r="S23" s="10">
        <f t="shared" si="3"/>
        <v>0.76470588235294112</v>
      </c>
    </row>
    <row r="24" spans="1:19" x14ac:dyDescent="0.45">
      <c r="A24" s="1" t="s">
        <v>78</v>
      </c>
      <c r="B24" s="13" t="s">
        <v>54</v>
      </c>
      <c r="C24" s="17" t="s">
        <v>118</v>
      </c>
      <c r="D24" s="1" t="s">
        <v>25</v>
      </c>
      <c r="E24" s="1" t="s">
        <v>79</v>
      </c>
      <c r="F24" s="1" t="s">
        <v>27</v>
      </c>
      <c r="G24" s="2">
        <v>10</v>
      </c>
      <c r="H24" s="3">
        <v>41</v>
      </c>
      <c r="I24" s="3">
        <v>23</v>
      </c>
      <c r="J24" s="3">
        <v>13</v>
      </c>
      <c r="K24" s="3">
        <v>9</v>
      </c>
      <c r="L24" s="3">
        <v>6</v>
      </c>
      <c r="M24" s="4">
        <f t="shared" si="0"/>
        <v>3</v>
      </c>
      <c r="N24" s="5">
        <f t="shared" si="1"/>
        <v>0.56097560975609762</v>
      </c>
      <c r="O24" s="5">
        <f t="shared" si="1"/>
        <v>0.56521739130434778</v>
      </c>
      <c r="P24" s="5">
        <f t="shared" si="1"/>
        <v>0.69230769230769229</v>
      </c>
      <c r="Q24" s="5">
        <f t="shared" si="1"/>
        <v>0.66666666666666663</v>
      </c>
      <c r="R24" s="5">
        <f t="shared" si="2"/>
        <v>0.14634146341463414</v>
      </c>
      <c r="S24" s="5">
        <f t="shared" si="3"/>
        <v>0.6</v>
      </c>
    </row>
    <row r="25" spans="1:19" x14ac:dyDescent="0.45">
      <c r="A25" s="6" t="s">
        <v>80</v>
      </c>
      <c r="B25" s="14" t="s">
        <v>45</v>
      </c>
      <c r="C25" s="17" t="s">
        <v>119</v>
      </c>
      <c r="D25" s="6" t="s">
        <v>20</v>
      </c>
      <c r="E25" s="6" t="s">
        <v>81</v>
      </c>
      <c r="F25" s="6" t="s">
        <v>22</v>
      </c>
      <c r="G25" s="7">
        <v>40</v>
      </c>
      <c r="H25" s="8">
        <v>142</v>
      </c>
      <c r="I25" s="8">
        <v>103</v>
      </c>
      <c r="J25" s="8">
        <v>63</v>
      </c>
      <c r="K25" s="8">
        <v>46</v>
      </c>
      <c r="L25" s="8">
        <v>34</v>
      </c>
      <c r="M25" s="9">
        <f t="shared" si="0"/>
        <v>12</v>
      </c>
      <c r="N25" s="10">
        <f t="shared" si="1"/>
        <v>0.72535211267605637</v>
      </c>
      <c r="O25" s="10">
        <f t="shared" si="1"/>
        <v>0.61165048543689315</v>
      </c>
      <c r="P25" s="10">
        <f t="shared" si="1"/>
        <v>0.73015873015873012</v>
      </c>
      <c r="Q25" s="10">
        <f t="shared" si="1"/>
        <v>0.73913043478260865</v>
      </c>
      <c r="R25" s="10">
        <f t="shared" si="2"/>
        <v>0.23943661971830985</v>
      </c>
      <c r="S25" s="10">
        <f t="shared" si="3"/>
        <v>0.85</v>
      </c>
    </row>
    <row r="26" spans="1:19" x14ac:dyDescent="0.45">
      <c r="A26" s="1" t="s">
        <v>82</v>
      </c>
      <c r="B26" s="13" t="s">
        <v>19</v>
      </c>
      <c r="C26" s="17" t="s">
        <v>120</v>
      </c>
      <c r="D26" s="1" t="s">
        <v>20</v>
      </c>
      <c r="E26" s="1" t="s">
        <v>83</v>
      </c>
      <c r="F26" s="1" t="s">
        <v>22</v>
      </c>
      <c r="G26" s="2">
        <v>17</v>
      </c>
      <c r="H26" s="3">
        <v>65</v>
      </c>
      <c r="I26" s="3">
        <v>48</v>
      </c>
      <c r="J26" s="3">
        <v>26</v>
      </c>
      <c r="K26" s="3">
        <v>16</v>
      </c>
      <c r="L26" s="3">
        <v>11</v>
      </c>
      <c r="M26" s="4">
        <f t="shared" si="0"/>
        <v>5</v>
      </c>
      <c r="N26" s="5">
        <f t="shared" si="1"/>
        <v>0.7384615384615385</v>
      </c>
      <c r="O26" s="5">
        <f t="shared" si="1"/>
        <v>0.54166666666666663</v>
      </c>
      <c r="P26" s="5">
        <f t="shared" si="1"/>
        <v>0.61538461538461542</v>
      </c>
      <c r="Q26" s="5">
        <f t="shared" si="1"/>
        <v>0.6875</v>
      </c>
      <c r="R26" s="5">
        <f t="shared" si="2"/>
        <v>0.16923076923076924</v>
      </c>
      <c r="S26" s="5">
        <f t="shared" si="3"/>
        <v>0.6470588235294118</v>
      </c>
    </row>
    <row r="27" spans="1:19" x14ac:dyDescent="0.45">
      <c r="A27" s="6" t="s">
        <v>84</v>
      </c>
      <c r="B27" s="14" t="s">
        <v>54</v>
      </c>
      <c r="C27" s="18" t="s">
        <v>121</v>
      </c>
      <c r="D27" s="6" t="s">
        <v>51</v>
      </c>
      <c r="E27" s="6" t="s">
        <v>52</v>
      </c>
      <c r="F27" s="6" t="s">
        <v>32</v>
      </c>
      <c r="G27" s="7">
        <v>52</v>
      </c>
      <c r="H27" s="8">
        <v>305</v>
      </c>
      <c r="I27" s="8">
        <v>210</v>
      </c>
      <c r="J27" s="8">
        <v>127</v>
      </c>
      <c r="K27" s="8">
        <v>84</v>
      </c>
      <c r="L27" s="8">
        <v>72</v>
      </c>
      <c r="M27" s="9">
        <f t="shared" si="0"/>
        <v>12</v>
      </c>
      <c r="N27" s="10">
        <f t="shared" si="1"/>
        <v>0.68852459016393441</v>
      </c>
      <c r="O27" s="10">
        <f t="shared" si="1"/>
        <v>0.60476190476190472</v>
      </c>
      <c r="P27" s="10">
        <f t="shared" si="1"/>
        <v>0.66141732283464572</v>
      </c>
      <c r="Q27" s="10">
        <f t="shared" si="1"/>
        <v>0.8571428571428571</v>
      </c>
      <c r="R27" s="10">
        <f t="shared" si="2"/>
        <v>0.23606557377049181</v>
      </c>
      <c r="S27" s="10">
        <f t="shared" si="3"/>
        <v>1.3846153846153846</v>
      </c>
    </row>
    <row r="28" spans="1:19" x14ac:dyDescent="0.45">
      <c r="A28" s="1" t="s">
        <v>85</v>
      </c>
      <c r="B28" s="13" t="s">
        <v>45</v>
      </c>
      <c r="C28" s="18" t="s">
        <v>122</v>
      </c>
      <c r="D28" s="1" t="s">
        <v>86</v>
      </c>
      <c r="E28" s="1" t="s">
        <v>83</v>
      </c>
      <c r="F28" s="1" t="s">
        <v>22</v>
      </c>
      <c r="G28" s="2">
        <v>27</v>
      </c>
      <c r="H28" s="3">
        <v>96</v>
      </c>
      <c r="I28" s="3">
        <v>59</v>
      </c>
      <c r="J28" s="3">
        <v>34</v>
      </c>
      <c r="K28" s="3">
        <v>25</v>
      </c>
      <c r="L28" s="3">
        <v>22</v>
      </c>
      <c r="M28" s="4">
        <f t="shared" si="0"/>
        <v>3</v>
      </c>
      <c r="N28" s="5">
        <f t="shared" si="1"/>
        <v>0.61458333333333337</v>
      </c>
      <c r="O28" s="5">
        <f t="shared" si="1"/>
        <v>0.57627118644067798</v>
      </c>
      <c r="P28" s="5">
        <f t="shared" si="1"/>
        <v>0.73529411764705888</v>
      </c>
      <c r="Q28" s="5">
        <f t="shared" si="1"/>
        <v>0.88</v>
      </c>
      <c r="R28" s="5">
        <f t="shared" si="2"/>
        <v>0.22916666666666666</v>
      </c>
      <c r="S28" s="5">
        <f t="shared" si="3"/>
        <v>0.81481481481481477</v>
      </c>
    </row>
    <row r="29" spans="1:19" x14ac:dyDescent="0.45">
      <c r="A29" s="6" t="s">
        <v>87</v>
      </c>
      <c r="B29" s="14" t="s">
        <v>24</v>
      </c>
      <c r="C29" s="18" t="s">
        <v>123</v>
      </c>
      <c r="D29" s="6" t="s">
        <v>20</v>
      </c>
      <c r="E29" s="6" t="s">
        <v>88</v>
      </c>
      <c r="F29" s="6" t="s">
        <v>22</v>
      </c>
      <c r="G29" s="7">
        <v>13</v>
      </c>
      <c r="H29" s="8">
        <v>58</v>
      </c>
      <c r="I29" s="8">
        <v>34</v>
      </c>
      <c r="J29" s="8">
        <v>17</v>
      </c>
      <c r="K29" s="8">
        <v>12</v>
      </c>
      <c r="L29" s="8">
        <v>9</v>
      </c>
      <c r="M29" s="9">
        <f t="shared" si="0"/>
        <v>3</v>
      </c>
      <c r="N29" s="10">
        <f t="shared" si="1"/>
        <v>0.58620689655172409</v>
      </c>
      <c r="O29" s="10">
        <f t="shared" si="1"/>
        <v>0.5</v>
      </c>
      <c r="P29" s="10">
        <f t="shared" si="1"/>
        <v>0.70588235294117652</v>
      </c>
      <c r="Q29" s="10">
        <f t="shared" si="1"/>
        <v>0.75</v>
      </c>
      <c r="R29" s="10">
        <f t="shared" si="2"/>
        <v>0.15517241379310345</v>
      </c>
      <c r="S29" s="10">
        <f t="shared" si="3"/>
        <v>0.69230769230769229</v>
      </c>
    </row>
    <row r="30" spans="1:19" x14ac:dyDescent="0.45">
      <c r="A30" s="1" t="s">
        <v>89</v>
      </c>
      <c r="B30" s="13" t="s">
        <v>19</v>
      </c>
      <c r="C30" s="17" t="s">
        <v>124</v>
      </c>
      <c r="D30" s="1" t="s">
        <v>57</v>
      </c>
      <c r="E30" s="1" t="s">
        <v>26</v>
      </c>
      <c r="F30" s="1" t="s">
        <v>27</v>
      </c>
      <c r="G30" s="2">
        <v>25</v>
      </c>
      <c r="H30" s="3">
        <v>149</v>
      </c>
      <c r="I30" s="3">
        <v>105</v>
      </c>
      <c r="J30" s="3">
        <v>56</v>
      </c>
      <c r="K30" s="3">
        <v>40</v>
      </c>
      <c r="L30" s="3">
        <v>32</v>
      </c>
      <c r="M30" s="4">
        <f t="shared" si="0"/>
        <v>8</v>
      </c>
      <c r="N30" s="5">
        <f t="shared" si="1"/>
        <v>0.70469798657718119</v>
      </c>
      <c r="O30" s="5">
        <f t="shared" si="1"/>
        <v>0.53333333333333333</v>
      </c>
      <c r="P30" s="5">
        <f t="shared" si="1"/>
        <v>0.7142857142857143</v>
      </c>
      <c r="Q30" s="5">
        <f t="shared" si="1"/>
        <v>0.8</v>
      </c>
      <c r="R30" s="5">
        <f t="shared" si="2"/>
        <v>0.21476510067114093</v>
      </c>
      <c r="S30" s="5">
        <f t="shared" si="3"/>
        <v>1.28</v>
      </c>
    </row>
    <row r="31" spans="1:19" x14ac:dyDescent="0.45">
      <c r="A31" s="6" t="s">
        <v>90</v>
      </c>
      <c r="B31" s="14" t="s">
        <v>29</v>
      </c>
      <c r="C31" s="16" t="s">
        <v>125</v>
      </c>
      <c r="D31" s="6" t="s">
        <v>91</v>
      </c>
      <c r="E31" s="6" t="s">
        <v>73</v>
      </c>
      <c r="F31" s="6" t="s">
        <v>36</v>
      </c>
      <c r="G31" s="7">
        <v>60</v>
      </c>
      <c r="H31" s="8">
        <v>345</v>
      </c>
      <c r="I31" s="8">
        <v>189</v>
      </c>
      <c r="J31" s="8">
        <v>126</v>
      </c>
      <c r="K31" s="8">
        <v>72</v>
      </c>
      <c r="L31" s="8">
        <v>52</v>
      </c>
      <c r="M31" s="9">
        <f t="shared" si="0"/>
        <v>20</v>
      </c>
      <c r="N31" s="10">
        <f t="shared" si="1"/>
        <v>0.54782608695652169</v>
      </c>
      <c r="O31" s="10">
        <f t="shared" si="1"/>
        <v>0.66666666666666663</v>
      </c>
      <c r="P31" s="10">
        <f t="shared" si="1"/>
        <v>0.5714285714285714</v>
      </c>
      <c r="Q31" s="10">
        <f t="shared" si="1"/>
        <v>0.72222222222222221</v>
      </c>
      <c r="R31" s="10">
        <f t="shared" si="2"/>
        <v>0.15072463768115943</v>
      </c>
      <c r="S31" s="10">
        <f t="shared" si="3"/>
        <v>0.8666666666666667</v>
      </c>
    </row>
    <row r="32" spans="1:19" x14ac:dyDescent="0.45">
      <c r="A32" s="1" t="s">
        <v>92</v>
      </c>
      <c r="B32" s="13" t="s">
        <v>45</v>
      </c>
      <c r="C32" s="17" t="s">
        <v>126</v>
      </c>
      <c r="D32" s="1" t="s">
        <v>20</v>
      </c>
      <c r="E32" s="1" t="s">
        <v>21</v>
      </c>
      <c r="F32" s="1" t="s">
        <v>22</v>
      </c>
      <c r="G32" s="2">
        <v>18</v>
      </c>
      <c r="H32" s="3">
        <v>63</v>
      </c>
      <c r="I32" s="3">
        <v>44</v>
      </c>
      <c r="J32" s="3">
        <v>24</v>
      </c>
      <c r="K32" s="3">
        <v>14</v>
      </c>
      <c r="L32" s="3">
        <v>10</v>
      </c>
      <c r="M32" s="4">
        <f t="shared" si="0"/>
        <v>4</v>
      </c>
      <c r="N32" s="5">
        <f t="shared" si="1"/>
        <v>0.69841269841269837</v>
      </c>
      <c r="O32" s="5">
        <f t="shared" si="1"/>
        <v>0.54545454545454541</v>
      </c>
      <c r="P32" s="5">
        <f t="shared" si="1"/>
        <v>0.58333333333333337</v>
      </c>
      <c r="Q32" s="5">
        <f t="shared" si="1"/>
        <v>0.7142857142857143</v>
      </c>
      <c r="R32" s="5">
        <f t="shared" si="2"/>
        <v>0.15873015873015872</v>
      </c>
      <c r="S32" s="5">
        <f t="shared" si="3"/>
        <v>0.55555555555555558</v>
      </c>
    </row>
    <row r="33" spans="1:19" x14ac:dyDescent="0.45">
      <c r="A33" s="6" t="s">
        <v>93</v>
      </c>
      <c r="B33" s="14" t="s">
        <v>38</v>
      </c>
      <c r="C33" s="16" t="s">
        <v>127</v>
      </c>
      <c r="D33" s="6" t="s">
        <v>39</v>
      </c>
      <c r="E33" s="6" t="s">
        <v>94</v>
      </c>
      <c r="F33" s="6" t="s">
        <v>41</v>
      </c>
      <c r="G33" s="7">
        <v>57</v>
      </c>
      <c r="H33" s="8">
        <v>208</v>
      </c>
      <c r="I33" s="8">
        <v>133</v>
      </c>
      <c r="J33" s="8">
        <v>76</v>
      </c>
      <c r="K33" s="8">
        <v>50</v>
      </c>
      <c r="L33" s="8">
        <v>39</v>
      </c>
      <c r="M33" s="9">
        <f t="shared" si="0"/>
        <v>11</v>
      </c>
      <c r="N33" s="10">
        <f t="shared" si="1"/>
        <v>0.63942307692307687</v>
      </c>
      <c r="O33" s="10">
        <f t="shared" si="1"/>
        <v>0.5714285714285714</v>
      </c>
      <c r="P33" s="10">
        <f t="shared" si="1"/>
        <v>0.65789473684210531</v>
      </c>
      <c r="Q33" s="10">
        <f t="shared" si="1"/>
        <v>0.78</v>
      </c>
      <c r="R33" s="10">
        <f t="shared" si="2"/>
        <v>0.1875</v>
      </c>
      <c r="S33" s="10">
        <f t="shared" si="3"/>
        <v>0.68421052631578949</v>
      </c>
    </row>
  </sheetData>
  <conditionalFormatting sqref="C2:C6">
    <cfRule type="duplicateValues" dxfId="4" priority="16"/>
  </conditionalFormatting>
  <conditionalFormatting sqref="C23">
    <cfRule type="duplicateValues" dxfId="3" priority="11"/>
  </conditionalFormatting>
  <conditionalFormatting sqref="C24">
    <cfRule type="duplicateValues" dxfId="2" priority="12"/>
  </conditionalFormatting>
  <conditionalFormatting sqref="C25">
    <cfRule type="duplicateValues" dxfId="1" priority="13"/>
  </conditionalFormatting>
  <conditionalFormatting sqref="C26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2026-06-04T17:43:02Z</dcterms:created>
  <dcterms:modified xsi:type="dcterms:W3CDTF">2026-06-04T17:45:38Z</dcterms:modified>
</cp:coreProperties>
</file>